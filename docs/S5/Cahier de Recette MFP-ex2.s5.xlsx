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uvencecom-my.sharepoint.com/personal/alexandre_noblet_ynov_com/Documents/M1 - FULLSTACK/TESTS UNITAIRES/"/>
    </mc:Choice>
  </mc:AlternateContent>
  <xr:revisionPtr revIDLastSave="89" documentId="11_1EE48C5B5B53C787493B088DDCB65F6C91214AA7" xr6:coauthVersionLast="47" xr6:coauthVersionMax="47" xr10:uidLastSave="{08B8F7EA-3CED-426A-A417-83CCFEAA80BB}"/>
  <bookViews>
    <workbookView xWindow="-98" yWindow="-98" windowWidth="21795" windowHeight="12975" xr2:uid="{00000000-000D-0000-FFFF-FFFF00000000}"/>
  </bookViews>
  <sheets>
    <sheet name="Création dun cahier de recette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G9" i="1"/>
  <c r="F9" i="1"/>
  <c r="H8" i="1"/>
  <c r="G8" i="1"/>
  <c r="F8" i="1"/>
  <c r="H7" i="1"/>
  <c r="G7" i="1"/>
  <c r="F7" i="1"/>
</calcChain>
</file>

<file path=xl/sharedStrings.xml><?xml version="1.0" encoding="utf-8"?>
<sst xmlns="http://schemas.openxmlformats.org/spreadsheetml/2006/main" count="109" uniqueCount="68">
  <si>
    <t>Cahier de Recette "My Final Place"</t>
  </si>
  <si>
    <t>Contexte :</t>
  </si>
  <si>
    <t>A</t>
  </si>
  <si>
    <t>B</t>
  </si>
  <si>
    <t>C</t>
  </si>
  <si>
    <t>Préprod - Android</t>
  </si>
  <si>
    <t>Préprod - IOS</t>
  </si>
  <si>
    <t>Préprod - Chrome</t>
  </si>
  <si>
    <t>Version :</t>
  </si>
  <si>
    <t>Statut :</t>
  </si>
  <si>
    <t>Non Testé</t>
  </si>
  <si>
    <t>Date Execution :</t>
  </si>
  <si>
    <t>Testeur :</t>
  </si>
  <si>
    <t>O.K. :</t>
  </si>
  <si>
    <t>Non passé :</t>
  </si>
  <si>
    <t>K.O. :</t>
  </si>
  <si>
    <t>Module</t>
  </si>
  <si>
    <t>Libéllé du Test</t>
  </si>
  <si>
    <t>Étapes de Validation</t>
  </si>
  <si>
    <t>Résultats Attendus</t>
  </si>
  <si>
    <t>Contexte A</t>
  </si>
  <si>
    <t>Contexte B</t>
  </si>
  <si>
    <t>Contexte C</t>
  </si>
  <si>
    <t>Statut</t>
  </si>
  <si>
    <t>Commentaires</t>
  </si>
  <si>
    <t>Urgence</t>
  </si>
  <si>
    <t>Recherche géo-localisée</t>
  </si>
  <si>
    <t>1. Cliquer sur la carte. 
2. Autoriser la position. 
3. Filtrer par "Funérarium".</t>
  </si>
  <si>
    <t>Les prestataires à proximité s'affichent instantanément sur la carte.</t>
  </si>
  <si>
    <t>Non passé</t>
  </si>
  <si>
    <t>Ceci est un commentaire</t>
  </si>
  <si>
    <t>Sécurité</t>
  </si>
  <si>
    <t>Accès au Coffre-fort</t>
  </si>
  <si>
    <t>1. Cliquer sur un document stocké. 
2. Vérifier l'accès sans session active.</t>
  </si>
  <si>
    <t>L'application demande une authentification (biométrie ou mot de passe).</t>
  </si>
  <si>
    <t>Anticipation</t>
  </si>
  <si>
    <t>Dépôt de document PDF</t>
  </si>
  <si>
    <t>1. Aller dans mon espace. 
2. Télécharger un acte de naissance.</t>
  </si>
  <si>
    <t>Le fichier est listé avec une icône de succès et est consultable.</t>
  </si>
  <si>
    <t>Assistant</t>
  </si>
  <si>
    <t>Génération Checklist</t>
  </si>
  <si>
    <t>1. Répondre au questionnaire interactif. 
2. Valider les étapes.</t>
  </si>
  <si>
    <t>Une liste de tâches administrative personnalisée s'affiche sans erreur.</t>
  </si>
  <si>
    <t>UX/UI</t>
  </si>
  <si>
    <t>Lisibilité (Charte)</t>
  </si>
  <si>
    <t>1. Parcourir l'app sur mobile. 
2. Vérifier les contrastes (Bleu Nuit/Beige).</t>
  </si>
  <si>
    <t>La lecture est fluide, aucune fatigue visuelle, texte parfaitement lisible.</t>
  </si>
  <si>
    <t>Pro/B2B</t>
  </si>
  <si>
    <t>Affichage Note Empathie</t>
  </si>
  <si>
    <t>1. Ouvrir une fiche pro notée. 
2. Cliquer sur le détail de la note.</t>
  </si>
  <si>
    <t>Le score qualitatif et les critères éthiques sont clairement détaillés.</t>
  </si>
  <si>
    <t>Business</t>
  </si>
  <si>
    <t>Mise en avant Partenaire</t>
  </si>
  <si>
    <t>1. Consulter la checklist post-décès. 
2. Vérifier le lien sponsorisé discret.</t>
  </si>
  <si>
    <t>Le partenaire apparaît de manière non intrusive (ex: "Aide juridique").</t>
  </si>
  <si>
    <t>Profil</t>
  </si>
  <si>
    <t>Modification des infos personnelles</t>
  </si>
  <si>
    <t>1. Aller dans "Mon compte". 
2. Modifier le nom. 
3. Enregistrer.</t>
  </si>
  <si>
    <t>Les modifications sont enregistrées et affichées correctement.</t>
  </si>
  <si>
    <t>Notification</t>
  </si>
  <si>
    <t>Réception alerte rappel</t>
  </si>
  <si>
    <t>1. Programmer une échéance. 
2. Attendre l'heure de l'alerte.</t>
  </si>
  <si>
    <t>Une notification push ou un email est envoyé à l'heure prévue.</t>
  </si>
  <si>
    <t>Aide</t>
  </si>
  <si>
    <t>Accès FAQ</t>
  </si>
  <si>
    <t>1. Cliquer sur l'icône "?". 
2. Rechercher un mot clé.</t>
  </si>
  <si>
    <t>Les articles correspondants s'affichent clairement.</t>
  </si>
  <si>
    <t>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</si>
</sst>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25"/>
      <color theme="1"/>
      <name val="Arial"/>
      <scheme val="minor"/>
    </font>
    <font>
      <sz val="14"/>
      <color theme="1"/>
      <name val="Arial"/>
      <scheme val="minor"/>
    </font>
    <font>
      <sz val="12"/>
      <color theme="1"/>
      <name val="Arial"/>
      <scheme val="minor"/>
    </font>
    <font>
      <b/>
      <sz val="14"/>
      <color theme="1"/>
      <name val="Arial"/>
      <scheme val="minor"/>
    </font>
    <font>
      <sz val="12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22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/>
    </xf>
    <xf numFmtId="0" fontId="4" fillId="3" borderId="2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left"/>
    </xf>
    <xf numFmtId="0" fontId="1" fillId="0" borderId="0" xfId="0" applyFont="1" applyFill="1" applyAlignment="1">
      <alignment horizontal="center" wrapText="1"/>
    </xf>
    <xf numFmtId="0" fontId="1" fillId="0" borderId="15" xfId="0" applyFont="1" applyFill="1" applyBorder="1" applyAlignment="1">
      <alignment horizontal="left"/>
    </xf>
    <xf numFmtId="0" fontId="1" fillId="0" borderId="15" xfId="0" applyFont="1" applyFill="1" applyBorder="1" applyAlignment="1">
      <alignment horizontal="left" wrapText="1"/>
    </xf>
    <xf numFmtId="0" fontId="4" fillId="0" borderId="15" xfId="0" applyFont="1" applyFill="1" applyBorder="1" applyAlignment="1">
      <alignment horizontal="left"/>
    </xf>
    <xf numFmtId="0" fontId="4" fillId="0" borderId="0" xfId="0" applyFont="1" applyFill="1" applyAlignment="1">
      <alignment horizontal="left" wrapText="1"/>
    </xf>
    <xf numFmtId="0" fontId="1" fillId="0" borderId="17" xfId="0" applyFont="1" applyFill="1" applyBorder="1" applyAlignment="1">
      <alignment horizontal="right" wrapText="1"/>
    </xf>
    <xf numFmtId="0" fontId="4" fillId="0" borderId="17" xfId="0" applyFont="1" applyFill="1" applyBorder="1" applyAlignment="1">
      <alignment horizontal="right" wrapText="1"/>
    </xf>
    <xf numFmtId="0" fontId="1" fillId="0" borderId="18" xfId="0" applyFont="1" applyFill="1" applyBorder="1" applyAlignment="1">
      <alignment horizontal="left"/>
    </xf>
    <xf numFmtId="0" fontId="4" fillId="0" borderId="18" xfId="0" applyFont="1" applyFill="1" applyBorder="1" applyAlignment="1">
      <alignment horizontal="left"/>
    </xf>
    <xf numFmtId="0" fontId="4" fillId="0" borderId="21" xfId="0" applyFont="1" applyFill="1" applyBorder="1" applyAlignment="1">
      <alignment horizontal="right" wrapText="1"/>
    </xf>
    <xf numFmtId="0" fontId="4" fillId="0" borderId="22" xfId="0" applyFont="1" applyFill="1" applyBorder="1" applyAlignment="1">
      <alignment horizontal="left"/>
    </xf>
    <xf numFmtId="0" fontId="4" fillId="0" borderId="23" xfId="0" applyFont="1" applyFill="1" applyBorder="1" applyAlignment="1">
      <alignment horizontal="left"/>
    </xf>
    <xf numFmtId="0" fontId="6" fillId="0" borderId="19" xfId="0" applyFont="1" applyFill="1" applyBorder="1" applyAlignment="1">
      <alignment horizontal="right" wrapText="1"/>
    </xf>
    <xf numFmtId="0" fontId="7" fillId="0" borderId="16" xfId="0" applyFont="1" applyFill="1" applyBorder="1" applyAlignment="1">
      <alignment horizontal="left"/>
    </xf>
    <xf numFmtId="0" fontId="7" fillId="0" borderId="16" xfId="0" applyFont="1" applyFill="1" applyBorder="1" applyAlignment="1">
      <alignment horizontal="left" wrapText="1"/>
    </xf>
    <xf numFmtId="0" fontId="7" fillId="0" borderId="20" xfId="0" applyFont="1" applyFill="1" applyBorder="1" applyAlignment="1">
      <alignment horizontal="left"/>
    </xf>
    <xf numFmtId="0" fontId="2" fillId="4" borderId="12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left" wrapText="1"/>
    </xf>
    <xf numFmtId="0" fontId="4" fillId="5" borderId="6" xfId="0" applyFont="1" applyFill="1" applyBorder="1" applyAlignment="1">
      <alignment horizontal="left" wrapText="1"/>
    </xf>
    <xf numFmtId="0" fontId="4" fillId="5" borderId="8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3" fillId="5" borderId="3" xfId="0" applyFont="1" applyFill="1" applyBorder="1" applyAlignment="1">
      <alignment horizontal="right"/>
    </xf>
    <xf numFmtId="0" fontId="3" fillId="5" borderId="5" xfId="0" applyFont="1" applyFill="1" applyBorder="1" applyAlignment="1">
      <alignment horizontal="right"/>
    </xf>
    <xf numFmtId="0" fontId="3" fillId="5" borderId="7" xfId="0" applyFont="1" applyFill="1" applyBorder="1" applyAlignment="1">
      <alignment horizontal="right"/>
    </xf>
    <xf numFmtId="49" fontId="8" fillId="0" borderId="1" xfId="0" applyNumberFormat="1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38">
    <dxf>
      <font>
        <strike val="0"/>
        <outline val="0"/>
        <shadow val="0"/>
        <u val="none"/>
        <vertAlign val="baseline"/>
        <sz val="22"/>
        <color theme="1"/>
        <name val="Arial"/>
        <family val="2"/>
        <scheme val="minor"/>
      </font>
    </dxf>
    <dxf>
      <border outline="0">
        <left style="thin">
          <color rgb="FF000000"/>
        </left>
      </border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A7C7E7"/>
          <bgColor rgb="FFA7C7E7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A7C7E7"/>
          <bgColor rgb="FFA7C7E7"/>
        </patternFill>
      </fill>
    </dxf>
    <dxf>
      <fill>
        <patternFill patternType="solid">
          <fgColor rgb="FFCFE2F3"/>
          <bgColor rgb="FFCFE2F3"/>
        </patternFill>
      </fill>
    </dxf>
    <dxf>
      <font>
        <strike val="0"/>
        <outline val="0"/>
        <shadow val="0"/>
        <u val="none"/>
        <vertAlign val="baseline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name="Création dun cahier de recette -style" pivot="0" count="4" xr9:uid="{00000000-0011-0000-FFFF-FFFF00000000}">
      <tableStyleElement type="wholeTable" size="0" dxfId="37"/>
      <tableStyleElement type="headerRow" dxfId="36"/>
      <tableStyleElement type="firstRowStripe" dxfId="35"/>
      <tableStyleElement type="secondRowStripe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2:J22">
  <tableColumns count="10">
    <tableColumn id="1" xr3:uid="{00000000-0010-0000-0000-000001000000}" name="Cas"/>
    <tableColumn id="2" xr3:uid="{00000000-0010-0000-0000-000002000000}" name="Module"/>
    <tableColumn id="3" xr3:uid="{00000000-0010-0000-0000-000003000000}" name="Libéllé du Test"/>
    <tableColumn id="4" xr3:uid="{00000000-0010-0000-0000-000004000000}" name="Étapes de Validation"/>
    <tableColumn id="5" xr3:uid="{00000000-0010-0000-0000-000005000000}" name="Résultats Attendus"/>
    <tableColumn id="6" xr3:uid="{00000000-0010-0000-0000-000006000000}" name="Contexte A"/>
    <tableColumn id="7" xr3:uid="{00000000-0010-0000-0000-000007000000}" name="Contexte B"/>
    <tableColumn id="8" xr3:uid="{00000000-0010-0000-0000-000008000000}" name="Contexte C"/>
    <tableColumn id="9" xr3:uid="{00000000-0010-0000-0000-000009000000}" name="Statut" dataDxfId="0"/>
    <tableColumn id="10" xr3:uid="{00000000-0010-0000-0000-00000A000000}" name="Commentaires" dataDxfId="1"/>
  </tableColumns>
  <tableStyleInfo name="TableStyleMedium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8F16C2-B83E-4269-9A11-2E7433F2576E}" name="Tableau4" displayName="Tableau4" ref="E2:H9" totalsRowShown="0" headerRowDxfId="26" headerRowBorderDxfId="32" tableBorderDxfId="33" totalsRowBorderDxfId="31">
  <autoFilter ref="E2:H9" xr:uid="{0A8F16C2-B83E-4269-9A11-2E7433F2576E}"/>
  <tableColumns count="4">
    <tableColumn id="1" xr3:uid="{E47437C8-1D62-41C9-9B69-79CEB4EF3B8C}" name="Contexte :" dataDxfId="30"/>
    <tableColumn id="2" xr3:uid="{4DB2FF40-4175-4B50-A80A-F3BF384B50A4}" name="A" dataDxfId="29"/>
    <tableColumn id="3" xr3:uid="{AD40AD7C-D203-4919-B35A-5A5EC29A9621}" name="B" dataDxfId="28"/>
    <tableColumn id="4" xr3:uid="{A5F11724-43D3-4AB6-B7E1-D15B53B6E115}" name="C" dataDxfId="27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topLeftCell="A17" zoomScale="53" workbookViewId="0">
      <selection activeCell="O12" sqref="O12"/>
    </sheetView>
  </sheetViews>
  <sheetFormatPr baseColWidth="10" defaultColWidth="12.59765625" defaultRowHeight="15.75" customHeight="1" x14ac:dyDescent="0.35"/>
  <cols>
    <col min="1" max="1" width="14.265625" bestFit="1" customWidth="1"/>
    <col min="2" max="2" width="15.46484375" customWidth="1"/>
    <col min="3" max="3" width="18.265625" customWidth="1"/>
    <col min="4" max="4" width="24.265625" customWidth="1"/>
    <col min="5" max="5" width="18.265625" customWidth="1"/>
    <col min="6" max="8" width="17.3984375" customWidth="1"/>
    <col min="9" max="9" width="14.59765625" customWidth="1"/>
    <col min="10" max="10" width="53.46484375" customWidth="1"/>
  </cols>
  <sheetData>
    <row r="1" spans="1:10" ht="31.5" thickBot="1" x14ac:dyDescent="0.4">
      <c r="A1" s="12"/>
      <c r="B1" s="13"/>
      <c r="C1" s="13"/>
      <c r="D1" s="31" t="s">
        <v>0</v>
      </c>
      <c r="E1" s="32"/>
      <c r="F1" s="32"/>
      <c r="G1" s="32"/>
      <c r="H1" s="33"/>
      <c r="I1" s="2"/>
    </row>
    <row r="2" spans="1:10" ht="17.649999999999999" x14ac:dyDescent="0.5">
      <c r="A2" s="14"/>
      <c r="B2" s="15"/>
      <c r="C2" s="13"/>
      <c r="D2" s="13"/>
      <c r="E2" s="27" t="s">
        <v>1</v>
      </c>
      <c r="F2" s="28" t="s">
        <v>2</v>
      </c>
      <c r="G2" s="29" t="s">
        <v>3</v>
      </c>
      <c r="H2" s="30" t="s">
        <v>4</v>
      </c>
    </row>
    <row r="3" spans="1:10" ht="17.25" x14ac:dyDescent="0.45">
      <c r="A3" s="14"/>
      <c r="B3" s="15"/>
      <c r="C3" s="13"/>
      <c r="D3" s="13"/>
      <c r="E3" s="20"/>
      <c r="F3" s="16" t="s">
        <v>5</v>
      </c>
      <c r="G3" s="17" t="s">
        <v>6</v>
      </c>
      <c r="H3" s="22" t="s">
        <v>7</v>
      </c>
    </row>
    <row r="4" spans="1:10" ht="17.649999999999999" thickBot="1" x14ac:dyDescent="0.5">
      <c r="A4" s="14"/>
      <c r="B4" s="15"/>
      <c r="C4" s="13"/>
      <c r="D4" s="13"/>
      <c r="E4" s="21" t="s">
        <v>8</v>
      </c>
      <c r="F4" s="18">
        <v>0</v>
      </c>
      <c r="G4" s="18">
        <v>0</v>
      </c>
      <c r="H4" s="23">
        <v>0</v>
      </c>
    </row>
    <row r="5" spans="1:10" ht="17.649999999999999" thickBot="1" x14ac:dyDescent="0.5">
      <c r="A5" s="38" t="s">
        <v>9</v>
      </c>
      <c r="B5" s="34" t="s">
        <v>10</v>
      </c>
      <c r="C5" s="13"/>
      <c r="D5" s="13"/>
      <c r="E5" s="21" t="s">
        <v>11</v>
      </c>
      <c r="F5" s="16"/>
      <c r="G5" s="17"/>
      <c r="H5" s="22"/>
    </row>
    <row r="6" spans="1:10" ht="17.649999999999999" thickBot="1" x14ac:dyDescent="0.5">
      <c r="A6" s="39"/>
      <c r="B6" s="19"/>
      <c r="C6" s="13"/>
      <c r="D6" s="13"/>
      <c r="E6" s="21" t="s">
        <v>12</v>
      </c>
      <c r="F6" s="16"/>
      <c r="G6" s="17"/>
      <c r="H6" s="22"/>
    </row>
    <row r="7" spans="1:10" ht="17.25" x14ac:dyDescent="0.45">
      <c r="A7" s="40" t="s">
        <v>13</v>
      </c>
      <c r="B7" s="35">
        <v>0</v>
      </c>
      <c r="C7" s="13"/>
      <c r="D7" s="13"/>
      <c r="E7" s="21" t="s">
        <v>13</v>
      </c>
      <c r="F7" s="18">
        <f>COUNTIF(Tableau1[Contexte A], "OK")</f>
        <v>0</v>
      </c>
      <c r="G7" s="18">
        <f>COUNTIF(Tableau1[Contexte B], "OK")</f>
        <v>0</v>
      </c>
      <c r="H7" s="23">
        <f>COUNTIF(Tableau1[Contexte C], "OK")</f>
        <v>0</v>
      </c>
    </row>
    <row r="8" spans="1:10" ht="17.25" x14ac:dyDescent="0.45">
      <c r="A8" s="41" t="s">
        <v>14</v>
      </c>
      <c r="B8" s="36">
        <v>0</v>
      </c>
      <c r="C8" s="13"/>
      <c r="D8" s="13"/>
      <c r="E8" s="21" t="s">
        <v>14</v>
      </c>
      <c r="F8" s="18">
        <f>COUNTIF(Tableau1[Contexte A], "Non passé")</f>
        <v>10</v>
      </c>
      <c r="G8" s="18">
        <f>COUNTIF(Tableau1[Contexte B], "Non passé")</f>
        <v>10</v>
      </c>
      <c r="H8" s="23">
        <f>COUNTIF(Tableau1[Contexte C], "Non passé")</f>
        <v>10</v>
      </c>
    </row>
    <row r="9" spans="1:10" ht="17.649999999999999" thickBot="1" x14ac:dyDescent="0.5">
      <c r="A9" s="42" t="s">
        <v>15</v>
      </c>
      <c r="B9" s="37">
        <v>0</v>
      </c>
      <c r="C9" s="13"/>
      <c r="D9" s="13"/>
      <c r="E9" s="24" t="s">
        <v>15</v>
      </c>
      <c r="F9" s="25">
        <f>COUNTIF(Tableau1[Contexte A], "KO")</f>
        <v>0</v>
      </c>
      <c r="G9" s="25">
        <f>COUNTIF(Tableau1[Contexte B], "KO")</f>
        <v>0</v>
      </c>
      <c r="H9" s="26">
        <f>COUNTIF(Tableau1[Contexte C], "KO")</f>
        <v>0</v>
      </c>
    </row>
    <row r="10" spans="1:10" ht="12.75" x14ac:dyDescent="0.35">
      <c r="A10" s="1"/>
      <c r="B10" s="2"/>
      <c r="C10" s="2"/>
      <c r="D10" s="2"/>
      <c r="E10" s="2"/>
      <c r="F10" s="1"/>
      <c r="G10" s="2"/>
      <c r="H10" s="1"/>
      <c r="I10" s="2"/>
    </row>
    <row r="11" spans="1:10" ht="13.15" thickBot="1" x14ac:dyDescent="0.4">
      <c r="A11" s="1"/>
      <c r="B11" s="2"/>
      <c r="C11" s="2"/>
      <c r="D11" s="2"/>
      <c r="E11" s="2"/>
      <c r="F11" s="1"/>
      <c r="G11" s="2"/>
      <c r="H11" s="1"/>
      <c r="I11" s="2"/>
    </row>
    <row r="12" spans="1:10" ht="22.5" customHeight="1" thickBot="1" x14ac:dyDescent="0.4">
      <c r="A12" s="43" t="s">
        <v>67</v>
      </c>
      <c r="B12" s="3" t="s">
        <v>16</v>
      </c>
      <c r="C12" s="3" t="s">
        <v>17</v>
      </c>
      <c r="D12" s="3" t="s">
        <v>18</v>
      </c>
      <c r="E12" s="3" t="s">
        <v>19</v>
      </c>
      <c r="F12" s="4" t="s">
        <v>20</v>
      </c>
      <c r="G12" s="5" t="s">
        <v>21</v>
      </c>
      <c r="H12" s="5" t="s">
        <v>22</v>
      </c>
      <c r="I12" s="6" t="s">
        <v>23</v>
      </c>
      <c r="J12" s="7" t="s">
        <v>24</v>
      </c>
    </row>
    <row r="13" spans="1:10" ht="114.75" customHeight="1" thickBot="1" x14ac:dyDescent="0.4">
      <c r="A13" s="8">
        <v>1</v>
      </c>
      <c r="B13" s="9" t="s">
        <v>25</v>
      </c>
      <c r="C13" s="9" t="s">
        <v>26</v>
      </c>
      <c r="D13" s="9" t="s">
        <v>27</v>
      </c>
      <c r="E13" s="9" t="s">
        <v>28</v>
      </c>
      <c r="F13" s="10" t="s">
        <v>29</v>
      </c>
      <c r="G13" s="10" t="s">
        <v>29</v>
      </c>
      <c r="H13" s="10" t="s">
        <v>29</v>
      </c>
      <c r="I13" s="44" t="b">
        <v>0</v>
      </c>
      <c r="J13" s="11" t="s">
        <v>30</v>
      </c>
    </row>
    <row r="14" spans="1:10" ht="114.75" customHeight="1" thickBot="1" x14ac:dyDescent="0.4">
      <c r="A14" s="8">
        <v>2</v>
      </c>
      <c r="B14" s="9" t="s">
        <v>31</v>
      </c>
      <c r="C14" s="9" t="s">
        <v>32</v>
      </c>
      <c r="D14" s="9" t="s">
        <v>33</v>
      </c>
      <c r="E14" s="9" t="s">
        <v>34</v>
      </c>
      <c r="F14" s="10" t="s">
        <v>29</v>
      </c>
      <c r="G14" s="10" t="s">
        <v>29</v>
      </c>
      <c r="H14" s="10" t="s">
        <v>29</v>
      </c>
      <c r="I14" s="44" t="b">
        <v>0</v>
      </c>
      <c r="J14" s="11" t="s">
        <v>30</v>
      </c>
    </row>
    <row r="15" spans="1:10" ht="114.75" customHeight="1" thickBot="1" x14ac:dyDescent="0.4">
      <c r="A15" s="8">
        <v>3</v>
      </c>
      <c r="B15" s="9" t="s">
        <v>35</v>
      </c>
      <c r="C15" s="9" t="s">
        <v>36</v>
      </c>
      <c r="D15" s="9" t="s">
        <v>37</v>
      </c>
      <c r="E15" s="9" t="s">
        <v>38</v>
      </c>
      <c r="F15" s="10" t="s">
        <v>29</v>
      </c>
      <c r="G15" s="10" t="s">
        <v>29</v>
      </c>
      <c r="H15" s="10" t="s">
        <v>29</v>
      </c>
      <c r="I15" s="44" t="b">
        <v>0</v>
      </c>
      <c r="J15" s="11" t="s">
        <v>30</v>
      </c>
    </row>
    <row r="16" spans="1:10" ht="114.75" customHeight="1" thickBot="1" x14ac:dyDescent="0.4">
      <c r="A16" s="8">
        <v>4</v>
      </c>
      <c r="B16" s="9" t="s">
        <v>39</v>
      </c>
      <c r="C16" s="9" t="s">
        <v>40</v>
      </c>
      <c r="D16" s="9" t="s">
        <v>41</v>
      </c>
      <c r="E16" s="9" t="s">
        <v>42</v>
      </c>
      <c r="F16" s="10" t="s">
        <v>29</v>
      </c>
      <c r="G16" s="10" t="s">
        <v>29</v>
      </c>
      <c r="H16" s="10" t="s">
        <v>29</v>
      </c>
      <c r="I16" s="44" t="b">
        <v>0</v>
      </c>
      <c r="J16" s="11" t="s">
        <v>30</v>
      </c>
    </row>
    <row r="17" spans="1:10" ht="114.75" customHeight="1" thickBot="1" x14ac:dyDescent="0.4">
      <c r="A17" s="8">
        <v>5</v>
      </c>
      <c r="B17" s="9" t="s">
        <v>43</v>
      </c>
      <c r="C17" s="9" t="s">
        <v>44</v>
      </c>
      <c r="D17" s="9" t="s">
        <v>45</v>
      </c>
      <c r="E17" s="9" t="s">
        <v>46</v>
      </c>
      <c r="F17" s="10" t="s">
        <v>29</v>
      </c>
      <c r="G17" s="10" t="s">
        <v>29</v>
      </c>
      <c r="H17" s="10" t="s">
        <v>29</v>
      </c>
      <c r="I17" s="44" t="b">
        <v>0</v>
      </c>
      <c r="J17" s="11" t="s">
        <v>30</v>
      </c>
    </row>
    <row r="18" spans="1:10" ht="114.75" customHeight="1" thickBot="1" x14ac:dyDescent="0.4">
      <c r="A18" s="8">
        <v>6</v>
      </c>
      <c r="B18" s="9" t="s">
        <v>47</v>
      </c>
      <c r="C18" s="9" t="s">
        <v>48</v>
      </c>
      <c r="D18" s="9" t="s">
        <v>49</v>
      </c>
      <c r="E18" s="9" t="s">
        <v>50</v>
      </c>
      <c r="F18" s="10" t="s">
        <v>29</v>
      </c>
      <c r="G18" s="10" t="s">
        <v>29</v>
      </c>
      <c r="H18" s="10" t="s">
        <v>29</v>
      </c>
      <c r="I18" s="44" t="b">
        <v>0</v>
      </c>
      <c r="J18" s="11" t="s">
        <v>30</v>
      </c>
    </row>
    <row r="19" spans="1:10" ht="114.75" customHeight="1" thickBot="1" x14ac:dyDescent="0.4">
      <c r="A19" s="8">
        <v>7</v>
      </c>
      <c r="B19" s="9" t="s">
        <v>51</v>
      </c>
      <c r="C19" s="9" t="s">
        <v>52</v>
      </c>
      <c r="D19" s="9" t="s">
        <v>53</v>
      </c>
      <c r="E19" s="9" t="s">
        <v>54</v>
      </c>
      <c r="F19" s="10" t="s">
        <v>29</v>
      </c>
      <c r="G19" s="10" t="s">
        <v>29</v>
      </c>
      <c r="H19" s="10" t="s">
        <v>29</v>
      </c>
      <c r="I19" s="44" t="b">
        <v>0</v>
      </c>
      <c r="J19" s="11" t="s">
        <v>30</v>
      </c>
    </row>
    <row r="20" spans="1:10" ht="114.75" customHeight="1" thickBot="1" x14ac:dyDescent="0.4">
      <c r="A20" s="8">
        <v>8</v>
      </c>
      <c r="B20" s="9" t="s">
        <v>55</v>
      </c>
      <c r="C20" s="9" t="s">
        <v>56</v>
      </c>
      <c r="D20" s="9" t="s">
        <v>57</v>
      </c>
      <c r="E20" s="9" t="s">
        <v>58</v>
      </c>
      <c r="F20" s="10" t="s">
        <v>29</v>
      </c>
      <c r="G20" s="10" t="s">
        <v>29</v>
      </c>
      <c r="H20" s="10" t="s">
        <v>29</v>
      </c>
      <c r="I20" s="44" t="b">
        <v>0</v>
      </c>
      <c r="J20" s="11" t="s">
        <v>30</v>
      </c>
    </row>
    <row r="21" spans="1:10" ht="114.75" customHeight="1" thickBot="1" x14ac:dyDescent="0.4">
      <c r="A21" s="8">
        <v>9</v>
      </c>
      <c r="B21" s="9" t="s">
        <v>59</v>
      </c>
      <c r="C21" s="9" t="s">
        <v>60</v>
      </c>
      <c r="D21" s="9" t="s">
        <v>61</v>
      </c>
      <c r="E21" s="9" t="s">
        <v>62</v>
      </c>
      <c r="F21" s="10" t="s">
        <v>29</v>
      </c>
      <c r="G21" s="10" t="s">
        <v>29</v>
      </c>
      <c r="H21" s="10" t="s">
        <v>29</v>
      </c>
      <c r="I21" s="44" t="b">
        <v>0</v>
      </c>
      <c r="J21" s="11" t="s">
        <v>30</v>
      </c>
    </row>
    <row r="22" spans="1:10" ht="114.75" customHeight="1" thickBot="1" x14ac:dyDescent="0.4">
      <c r="A22" s="8">
        <v>10</v>
      </c>
      <c r="B22" s="9" t="s">
        <v>63</v>
      </c>
      <c r="C22" s="9" t="s">
        <v>64</v>
      </c>
      <c r="D22" s="9" t="s">
        <v>65</v>
      </c>
      <c r="E22" s="9" t="s">
        <v>66</v>
      </c>
      <c r="F22" s="10" t="s">
        <v>29</v>
      </c>
      <c r="G22" s="10" t="s">
        <v>29</v>
      </c>
      <c r="H22" s="10" t="s">
        <v>29</v>
      </c>
      <c r="I22" s="44" t="b">
        <v>0</v>
      </c>
      <c r="J22" s="11" t="s">
        <v>30</v>
      </c>
    </row>
  </sheetData>
  <mergeCells count="1">
    <mergeCell ref="D1:H1"/>
  </mergeCells>
  <conditionalFormatting sqref="F13:H22">
    <cfRule type="cellIs" dxfId="25" priority="1" stopIfTrue="1" operator="equal">
      <formula>"Non passé"</formula>
    </cfRule>
    <cfRule type="cellIs" dxfId="24" priority="2" stopIfTrue="1" operator="equal">
      <formula>"Non défini"</formula>
    </cfRule>
    <cfRule type="cellIs" dxfId="23" priority="3" stopIfTrue="1" operator="equal">
      <formula>"Non défini"</formula>
    </cfRule>
    <cfRule type="cellIs" dxfId="22" priority="4" stopIfTrue="1" operator="equal">
      <formula>"Non défini"</formula>
    </cfRule>
    <cfRule type="cellIs" dxfId="21" priority="5" stopIfTrue="1" operator="equal">
      <formula>"OK"</formula>
    </cfRule>
    <cfRule type="cellIs" dxfId="20" priority="8" stopIfTrue="1" operator="equal">
      <formula>"KO"</formula>
    </cfRule>
    <cfRule type="cellIs" dxfId="19" priority="10" stopIfTrue="1" operator="equal">
      <formula>"KO"</formula>
    </cfRule>
    <cfRule type="cellIs" dxfId="18" priority="11" stopIfTrue="1" operator="equal">
      <formula>"OK"</formula>
    </cfRule>
    <cfRule type="cellIs" dxfId="17" priority="12" stopIfTrue="1" operator="equal">
      <formula>"Non défini"</formula>
    </cfRule>
  </conditionalFormatting>
  <conditionalFormatting sqref="H13:H22">
    <cfRule type="cellIs" dxfId="16" priority="6" stopIfTrue="1" operator="equal">
      <formula>"OK"</formula>
    </cfRule>
    <cfRule type="cellIs" dxfId="15" priority="7" stopIfTrue="1" operator="equal">
      <formula>"Non défini"</formula>
    </cfRule>
    <cfRule type="cellIs" dxfId="14" priority="9" stopIfTrue="1" operator="equal">
      <formula>"KO"</formula>
    </cfRule>
  </conditionalFormatting>
  <dataValidations count="3">
    <dataValidation type="list" allowBlank="1" showErrorMessage="1" sqref="B5" xr:uid="{00000000-0002-0000-0000-000000000000}">
      <formula1>"Non Testé,Testé"</formula1>
    </dataValidation>
    <dataValidation type="list" allowBlank="1" sqref="F13:H22" xr:uid="{00000000-0002-0000-0000-000001000000}">
      <formula1>"OK,Non passé,KO"</formula1>
    </dataValidation>
    <dataValidation type="custom" allowBlank="1" showDropDown="1" sqref="A13:A22" xr:uid="{00000000-0002-0000-0000-000002000000}">
      <formula1>AND(ISNUMBER(A13),(NOT(OR(NOT(ISERROR(DATEVALUE(A13))), AND(ISNUMBER(A13), LEFT(CELL("format", A13))="D")))))</formula1>
    </dataValidation>
  </dataValidations>
  <pageMargins left="0.7" right="0.7" top="0.75" bottom="0.75" header="0.3" footer="0.3"/>
  <pageSetup paperSize="9" orientation="portrait" horizontalDpi="4294967293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Création dun cahier de recette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NOBLET Alexandre</cp:lastModifiedBy>
  <dcterms:modified xsi:type="dcterms:W3CDTF">2026-03-16T14:09:17Z</dcterms:modified>
</cp:coreProperties>
</file>